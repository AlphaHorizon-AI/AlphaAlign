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Config" sheetId="1" state="veryHidden" r:id="rId1"/>
    <sheet name="Welcome" sheetId="2" state="visible" r:id="rId2"/>
    <sheet name="Pairwise Survey" sheetId="3" state="visible" r:id="rId3"/>
    <sheet name="Comments" sheetId="4" state="visible" r:id="rId4"/>
    <sheet name="Matrix" sheetId="5" state="hidden" r:id="rId5"/>
    <sheet name="Metadata" sheetId="6" state="visible" r:id="rId6"/>
  </sheets>
  <definedNames/>
  <calcPr calcId="124519" fullCalcOnLoad="1"/>
</workbook>
</file>

<file path=xl/styles.xml><?xml version="1.0" encoding="utf-8"?>
<styleSheet xmlns="http://schemas.openxmlformats.org/spreadsheetml/2006/main">
  <numFmts count="1">
    <numFmt numFmtId="164" formatCode="0.000"/>
  </numFmts>
  <fonts count="18">
    <font>
      <name val="Calibri"/>
      <family val="2"/>
      <color theme="1"/>
      <sz val="11"/>
      <scheme val="minor"/>
    </font>
    <font>
      <name val="Calibri"/>
      <b val="1"/>
      <color rgb="00FFFFFF"/>
      <sz val="18"/>
    </font>
    <font>
      <name val="Calibri"/>
      <color rgb="001565C0"/>
      <sz val="12"/>
    </font>
    <font>
      <name val="Calibri"/>
      <b val="1"/>
      <sz val="11"/>
    </font>
    <font>
      <name val="Calibri"/>
      <sz val="11"/>
    </font>
    <font>
      <name val="Calibri"/>
      <b val="1"/>
      <color rgb="000D1B3E"/>
      <sz val="13"/>
    </font>
    <font>
      <name val="Consolas"/>
      <color rgb="001B5E20"/>
      <sz val="11"/>
    </font>
    <font>
      <name val="Calibri"/>
      <i val="1"/>
      <color rgb="00666666"/>
      <sz val="10"/>
    </font>
    <font>
      <name val="Calibri"/>
      <b val="1"/>
      <color rgb="000D1B3E"/>
      <sz val="16"/>
    </font>
    <font>
      <name val="Calibri"/>
      <i val="1"/>
      <color rgb="001565C0"/>
      <sz val="10"/>
    </font>
    <font>
      <name val="Calibri"/>
      <b val="1"/>
      <color rgb="00FFFFFF"/>
      <sz val="11"/>
    </font>
    <font>
      <name val="Calibri"/>
      <color rgb="00999999"/>
      <sz val="9"/>
    </font>
    <font>
      <name val="Calibri"/>
      <color rgb="00999999"/>
      <sz val="10"/>
    </font>
    <font>
      <name val="Calibri"/>
      <b val="1"/>
      <color rgb="000D1B3E"/>
      <sz val="11"/>
    </font>
    <font>
      <name val="Calibri"/>
      <b val="1"/>
      <color rgb="00FF0000"/>
      <sz val="12"/>
    </font>
    <font>
      <name val="Calibri"/>
      <color rgb="00666666"/>
      <sz val="11"/>
    </font>
    <font>
      <name val="Calibri"/>
      <color rgb="00888888"/>
      <sz val="11"/>
    </font>
    <font>
      <name val="Calibri"/>
      <b val="1"/>
      <color rgb="00FF0000"/>
      <sz val="14"/>
    </font>
  </fonts>
  <fills count="7">
    <fill>
      <patternFill/>
    </fill>
    <fill>
      <patternFill patternType="gray125"/>
    </fill>
    <fill>
      <patternFill patternType="solid">
        <fgColor rgb="000D1B3E"/>
        <bgColor rgb="000D1B3E"/>
      </patternFill>
    </fill>
    <fill>
      <patternFill patternType="solid">
        <fgColor rgb="00E3F2FD"/>
        <bgColor rgb="00E3F2FD"/>
      </patternFill>
    </fill>
    <fill>
      <patternFill patternType="solid">
        <fgColor rgb="00FFFFF0"/>
        <bgColor rgb="00FFFFF0"/>
      </patternFill>
    </fill>
    <fill>
      <patternFill patternType="solid">
        <fgColor rgb="00F5F5F5"/>
        <bgColor rgb="00F5F5F5"/>
      </patternFill>
    </fill>
    <fill>
      <patternFill patternType="solid">
        <fgColor rgb="00CFD8DC"/>
        <bgColor rgb="00CFD8D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3" fillId="3" borderId="1" pivotButton="0" quotePrefix="0" xfId="0"/>
    <xf numFmtId="0" fontId="7" fillId="4" borderId="1" pivotButton="0" quotePrefix="0" xfId="0"/>
    <xf numFmtId="0" fontId="4" fillId="0" borderId="0" applyAlignment="1" pivotButton="0" quotePrefix="0" xfId="0">
      <alignment horizontal="left" vertical="center" wrapText="1"/>
    </xf>
    <xf numFmtId="0" fontId="8" fillId="0" borderId="0" pivotButton="0" quotePrefix="0" xfId="0"/>
    <xf numFmtId="0" fontId="7" fillId="0" borderId="0" pivotButton="0" quotePrefix="0" xfId="0"/>
    <xf numFmtId="0" fontId="9" fillId="0" borderId="0" pivotButton="0" quotePrefix="0" xfId="0"/>
    <xf numFmtId="0" fontId="10" fillId="2" borderId="1" applyAlignment="1" pivotButton="0" quotePrefix="0" xfId="0">
      <alignment horizontal="center" vertical="center" wrapText="1"/>
    </xf>
    <xf numFmtId="0" fontId="11" fillId="0" borderId="0" pivotButton="0" quotePrefix="0" xfId="0"/>
    <xf numFmtId="0" fontId="12" fillId="0" borderId="1" applyAlignment="1" pivotButton="0" quotePrefix="0" xfId="0">
      <alignment horizontal="center" vertical="center" wrapText="1"/>
    </xf>
    <xf numFmtId="0" fontId="13" fillId="0" borderId="1" applyAlignment="1" pivotButton="0" quotePrefix="0" xfId="0">
      <alignment horizontal="left" vertical="center" wrapText="1"/>
    </xf>
    <xf numFmtId="0" fontId="4" fillId="4" borderId="1" applyAlignment="1" pivotButton="0" quotePrefix="0" xfId="0">
      <alignment horizontal="left" vertical="center" wrapText="1"/>
    </xf>
    <xf numFmtId="0" fontId="12" fillId="5" borderId="1" applyAlignment="1" pivotButton="0" quotePrefix="0" xfId="0">
      <alignment horizontal="center" vertical="center" wrapText="1"/>
    </xf>
    <xf numFmtId="0" fontId="13" fillId="5" borderId="1" applyAlignment="1" pivotButton="0" quotePrefix="0" xfId="0">
      <alignment horizontal="left" vertical="center" wrapText="1"/>
    </xf>
    <xf numFmtId="0" fontId="0" fillId="4" borderId="1" applyAlignment="1" pivotButton="0" quotePrefix="0" xfId="0">
      <alignment horizontal="left" vertical="top" wrapText="1"/>
    </xf>
    <xf numFmtId="0" fontId="14" fillId="0" borderId="0" pivotButton="0" quotePrefix="0" xfId="0"/>
    <xf numFmtId="164" fontId="15" fillId="6" borderId="1" applyAlignment="1" pivotButton="0" quotePrefix="0" xfId="0">
      <alignment horizontal="center" vertical="center" wrapText="1"/>
    </xf>
    <xf numFmtId="164" fontId="4" fillId="0" borderId="1" applyAlignment="1" pivotButton="0" quotePrefix="0" xfId="0">
      <alignment horizontal="center" vertical="center" wrapText="1"/>
    </xf>
    <xf numFmtId="164" fontId="16" fillId="0" borderId="1" applyAlignment="1" pivotButton="0" quotePrefix="0" xfId="0">
      <alignment horizontal="center" vertical="center" wrapText="1"/>
    </xf>
    <xf numFmtId="0" fontId="17" fillId="0" borderId="0" pivotButton="0" quotePrefix="0" xfId="0"/>
  </cellXfs>
  <cellStyles count="1">
    <cellStyle name="Normal" xfId="0" builtinId="0" hidden="0"/>
  </cellStyles>
  <dxfs count="1">
    <dxf>
      <fill>
        <patternFill patternType="solid">
          <fgColor rgb="00E8F5E9"/>
          <bgColor rgb="00E8F5E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Label</t>
        </is>
      </c>
      <c r="B1" t="inlineStr">
        <is>
          <t>Value</t>
        </is>
      </c>
      <c r="D1" t="inlineStr">
        <is>
          <t>ScoreLabel</t>
        </is>
      </c>
      <c r="E1" t="inlineStr">
        <is>
          <t>ScoreValue</t>
        </is>
      </c>
      <c r="G1" t="inlineStr">
        <is>
          <t>CriterionID</t>
        </is>
      </c>
      <c r="H1" t="inlineStr">
        <is>
          <t>CriterionName</t>
        </is>
      </c>
    </row>
    <row r="2">
      <c r="A2" t="inlineStr">
        <is>
          <t>A is overwhelmingly more important</t>
        </is>
      </c>
      <c r="B2" t="n">
        <v>9</v>
      </c>
      <c r="D2" t="inlineStr">
        <is>
          <t>1 - Very Poor Fit</t>
        </is>
      </c>
      <c r="E2" t="n">
        <v>1</v>
      </c>
      <c r="G2" t="inlineStr">
        <is>
          <t>7584e9ca-c27d-464d-af8a-8aef08588e65</t>
        </is>
      </c>
      <c r="H2" t="inlineStr">
        <is>
          <t>Business Criticality</t>
        </is>
      </c>
    </row>
    <row r="3">
      <c r="A3" t="inlineStr">
        <is>
          <t>A is much more important</t>
        </is>
      </c>
      <c r="B3" t="n">
        <v>7</v>
      </c>
      <c r="D3" t="inlineStr">
        <is>
          <t>2 - Poor Fit</t>
        </is>
      </c>
      <c r="E3" t="n">
        <v>2</v>
      </c>
      <c r="G3" t="inlineStr">
        <is>
          <t>0a1f7d7e-86c9-4f2e-960c-4b13e16b64bb</t>
        </is>
      </c>
      <c r="H3" t="inlineStr">
        <is>
          <t>Agentic Ambition</t>
        </is>
      </c>
    </row>
    <row r="4">
      <c r="A4" t="inlineStr">
        <is>
          <t>A is clearly more important</t>
        </is>
      </c>
      <c r="B4" t="n">
        <v>5</v>
      </c>
      <c r="D4" t="inlineStr">
        <is>
          <t>3 - Moderate Fit</t>
        </is>
      </c>
      <c r="E4" t="n">
        <v>3</v>
      </c>
      <c r="G4" t="inlineStr">
        <is>
          <t>acc8d6cf-59bc-481f-8191-badd26cfd225</t>
        </is>
      </c>
      <c r="H4" t="inlineStr">
        <is>
          <t>System Complexity</t>
        </is>
      </c>
    </row>
    <row r="5">
      <c r="A5" t="inlineStr">
        <is>
          <t>A is slightly more important</t>
        </is>
      </c>
      <c r="B5" t="n">
        <v>3</v>
      </c>
      <c r="D5" t="inlineStr">
        <is>
          <t>4 - Good Fit</t>
        </is>
      </c>
      <c r="E5" t="n">
        <v>4</v>
      </c>
      <c r="G5" t="inlineStr">
        <is>
          <t>9305e238-2507-4f7e-acfb-3f15389545db</t>
        </is>
      </c>
      <c r="H5" t="inlineStr">
        <is>
          <t>Vendor Dependency Risk</t>
        </is>
      </c>
    </row>
    <row r="6">
      <c r="A6" t="inlineStr">
        <is>
          <t>Equal importance</t>
        </is>
      </c>
      <c r="B6" t="n">
        <v>1</v>
      </c>
      <c r="D6" t="inlineStr">
        <is>
          <t>5 - Excellent Fit</t>
        </is>
      </c>
      <c r="E6" t="n">
        <v>5</v>
      </c>
      <c r="G6" t="inlineStr">
        <is>
          <t>2eb3826c-0f6d-4d57-baac-034f22cb8a5e</t>
        </is>
      </c>
      <c r="H6" t="inlineStr">
        <is>
          <t>Governance and Compliance Need</t>
        </is>
      </c>
    </row>
    <row r="7">
      <c r="A7" t="inlineStr">
        <is>
          <t>B is slightly more important</t>
        </is>
      </c>
      <c r="B7" t="n">
        <v>0.333333</v>
      </c>
      <c r="G7" t="inlineStr">
        <is>
          <t>570b565c-33d7-4ea6-b67a-bbde9a49a4fd</t>
        </is>
      </c>
      <c r="H7" t="inlineStr">
        <is>
          <t>Data and IP Sensitivity</t>
        </is>
      </c>
    </row>
    <row r="8">
      <c r="A8" t="inlineStr">
        <is>
          <t>B is clearly more important</t>
        </is>
      </c>
      <c r="B8" t="n">
        <v>0.2</v>
      </c>
      <c r="G8" t="inlineStr">
        <is>
          <t>3ae3514c-9778-4eb7-9c93-1578e5c6b556</t>
        </is>
      </c>
      <c r="H8" t="inlineStr">
        <is>
          <t>Model Flexibility Requirement</t>
        </is>
      </c>
    </row>
    <row r="9">
      <c r="A9" t="inlineStr">
        <is>
          <t>B is much more important</t>
        </is>
      </c>
      <c r="B9" t="n">
        <v>0.142857</v>
      </c>
      <c r="G9" t="inlineStr">
        <is>
          <t>6c9723af-a153-4f3c-a15a-4055c7f43829</t>
        </is>
      </c>
      <c r="H9" t="inlineStr">
        <is>
          <t>Cost Control Pressure</t>
        </is>
      </c>
    </row>
    <row r="10">
      <c r="A10" t="inlineStr">
        <is>
          <t>B is overwhelmingly more important</t>
        </is>
      </c>
      <c r="B10" t="n">
        <v>0.111111</v>
      </c>
      <c r="G10" t="inlineStr">
        <is>
          <t>fddcb7bb-66e0-491f-85ae-8bb67c2670c6</t>
        </is>
      </c>
      <c r="H10" t="inlineStr">
        <is>
          <t>Internal Capability Readiness</t>
        </is>
      </c>
    </row>
    <row r="11">
      <c r="G11" t="inlineStr">
        <is>
          <t>ee3fa8fb-0c85-4ae1-a3ce-e7f2f4d3c4e5</t>
        </is>
      </c>
      <c r="H11" t="inlineStr">
        <is>
          <t>Speed to Implementation</t>
        </is>
      </c>
    </row>
  </sheetData>
  <pageMargins left="0.75" right="0.75" top="1" bottom="1" header="0.5" footer="0.5"/>
</worksheet>
</file>

<file path=xl/worksheets/sheet2.xml><?xml version="1.0" encoding="utf-8"?>
<worksheet xmlns="http://schemas.openxmlformats.org/spreadsheetml/2006/main">
  <sheetPr>
    <tabColor rgb="000D1B3E"/>
    <outlinePr summaryBelow="1" summaryRight="1"/>
    <pageSetUpPr/>
  </sheetPr>
  <dimension ref="A1:C39"/>
  <sheetViews>
    <sheetView workbookViewId="0">
      <selection activeCell="A1" sqref="A1"/>
    </sheetView>
  </sheetViews>
  <sheetFormatPr baseColWidth="8" defaultRowHeight="15"/>
  <cols>
    <col width="30" customWidth="1" min="1" max="1"/>
    <col width="50" customWidth="1" min="2" max="2"/>
    <col width="25" customWidth="1" min="3" max="3"/>
  </cols>
  <sheetData>
    <row r="1" ht="50" customHeight="1">
      <c r="A1" s="1" t="inlineStr">
        <is>
          <t>AlphaAlign</t>
        </is>
      </c>
    </row>
    <row r="2">
      <c r="A2" s="2" t="inlineStr">
        <is>
          <t>Strategic AI Architecture Assessment</t>
        </is>
      </c>
    </row>
    <row r="4">
      <c r="A4" s="3" t="inlineStr">
        <is>
          <t>Assessment</t>
        </is>
      </c>
      <c r="B4" s="4" t="inlineStr">
        <is>
          <t>Simple Survey Test</t>
        </is>
      </c>
    </row>
    <row r="5">
      <c r="A5" s="3" t="inlineStr">
        <is>
          <t>Company</t>
        </is>
      </c>
      <c r="B5" s="4" t="inlineStr">
        <is>
          <t>Demo Corp</t>
        </is>
      </c>
    </row>
    <row r="6">
      <c r="A6" s="3" t="inlineStr">
        <is>
          <t>Generated</t>
        </is>
      </c>
      <c r="B6" s="4" t="inlineStr">
        <is>
          <t>June 20, 2026 at 16:56</t>
        </is>
      </c>
    </row>
    <row r="7">
      <c r="A7" s="3" t="inlineStr">
        <is>
          <t>Comparisons Required</t>
        </is>
      </c>
      <c r="B7" s="4" t="inlineStr">
        <is>
          <t>45</t>
        </is>
      </c>
    </row>
    <row r="9">
      <c r="A9" s="5" t="inlineStr">
        <is>
          <t>YOUR PROGRESS</t>
        </is>
      </c>
    </row>
    <row r="10">
      <c r="A10" s="3" t="inlineStr">
        <is>
          <t>Pairwise Comparisons</t>
        </is>
      </c>
      <c r="B10" s="4">
        <f>COUNTA('Pairwise Survey'!E5:E49) &amp; " of 45 completed"</f>
        <v/>
      </c>
      <c r="C10" s="6">
        <f>REPT(CHAR(9608),ROUND(COUNTA('Pairwise Survey'!E5:E49)/45*20,0))&amp;REPT(CHAR(9617),20-ROUND(COUNTA('Pairwise Survey'!E5:E49)/45*20,0))</f>
        <v/>
      </c>
    </row>
    <row r="12">
      <c r="A12" s="5" t="inlineStr">
        <is>
          <t>YOUR INFORMATION</t>
        </is>
      </c>
    </row>
    <row r="13">
      <c r="A13" s="7" t="inlineStr">
        <is>
          <t>Name</t>
        </is>
      </c>
      <c r="B13" s="8" t="n"/>
    </row>
    <row r="14">
      <c r="A14" s="7" t="inlineStr">
        <is>
          <t>Role</t>
        </is>
      </c>
      <c r="B14" s="8" t="n"/>
    </row>
    <row r="15">
      <c r="A15" s="7" t="inlineStr">
        <is>
          <t>Email</t>
        </is>
      </c>
      <c r="B15" s="8" t="n"/>
    </row>
    <row r="16">
      <c r="A16" s="7" t="inlineStr">
        <is>
          <t>Department</t>
        </is>
      </c>
      <c r="B16" s="8" t="n"/>
    </row>
    <row r="18">
      <c r="A18" s="5" t="inlineStr">
        <is>
          <t>HOW TO COMPLETE THIS SURVEY</t>
        </is>
      </c>
    </row>
    <row r="19">
      <c r="A19" s="3" t="inlineStr">
        <is>
          <t>Step 1:</t>
        </is>
      </c>
      <c r="B19" s="9" t="inlineStr">
        <is>
          <t>Fill in your name, role, and email above.</t>
        </is>
      </c>
    </row>
    <row r="20">
      <c r="A20" s="3" t="inlineStr">
        <is>
          <t>Step 2:</t>
        </is>
      </c>
      <c r="B20" s="9" t="inlineStr">
        <is>
          <t>Go to the 'Pairwise Survey' tab. For each pair of criteria, pick your judgement from the dropdown.</t>
        </is>
      </c>
    </row>
    <row r="21">
      <c r="A21" s="3" t="inlineStr">
        <is>
          <t>Step 3:</t>
        </is>
      </c>
      <c r="B21" s="9" t="inlineStr">
        <is>
          <t>(Optional) Go to the 'Comments' tab to add any observations.</t>
        </is>
      </c>
    </row>
    <row r="22">
      <c r="A22" s="3" t="inlineStr">
        <is>
          <t>Step 4:</t>
        </is>
      </c>
      <c r="B22" s="9" t="inlineStr">
        <is>
          <t>Save the file and return it to the assessment coordinator.</t>
        </is>
      </c>
    </row>
    <row r="23">
      <c r="A23" s="3" t="inlineStr"/>
      <c r="B23" s="9" t="inlineStr"/>
    </row>
    <row r="24">
      <c r="A24" s="3" t="inlineStr">
        <is>
          <t>That's it!</t>
        </is>
      </c>
      <c r="B24" s="9" t="inlineStr">
        <is>
          <t>You only need to answer the dropdown questions — no numbers, no math, no technical knowledge required.</t>
        </is>
      </c>
    </row>
    <row r="25">
      <c r="A25" s="3" t="inlineStr"/>
      <c r="B25" s="9" t="inlineStr">
        <is>
          <t>The progress bar above updates automatically as you go.</t>
        </is>
      </c>
    </row>
    <row r="26">
      <c r="A26" s="3" t="inlineStr"/>
      <c r="B26" s="9" t="inlineStr"/>
    </row>
    <row r="27">
      <c r="A27" s="3" t="inlineStr">
        <is>
          <t>Tip:</t>
        </is>
      </c>
      <c r="B27" s="9" t="inlineStr">
        <is>
          <t>If unsure about a comparison, just pick "Equal importance" — you can always revisit later.</t>
        </is>
      </c>
    </row>
    <row r="29">
      <c r="A29" s="5" t="inlineStr">
        <is>
          <t>CRITERIA BEING EVALUATED</t>
        </is>
      </c>
    </row>
    <row r="30">
      <c r="A30" s="3" t="inlineStr">
        <is>
          <t>1. Business Criticality</t>
        </is>
      </c>
      <c r="B30" s="9" t="inlineStr">
        <is>
          <t>How critical is AI to core business operations, revenue, and competitive advantage?</t>
        </is>
      </c>
    </row>
    <row r="31">
      <c r="A31" s="3" t="inlineStr">
        <is>
          <t>2. Agentic Ambition</t>
        </is>
      </c>
      <c r="B31" s="9" t="inlineStr">
        <is>
          <t>To what extent does the company plan to deploy autonomous AI agents across business processes?</t>
        </is>
      </c>
    </row>
    <row r="32">
      <c r="A32" s="3" t="inlineStr">
        <is>
          <t>3. System Complexity</t>
        </is>
      </c>
      <c r="B32" s="9" t="inlineStr">
        <is>
          <t>How many systems (ERP, CRM, data platforms, legacy) must AI interact with?</t>
        </is>
      </c>
    </row>
    <row r="33">
      <c r="A33" s="3" t="inlineStr">
        <is>
          <t>4. Vendor Dependency Risk</t>
        </is>
      </c>
      <c r="B33" s="9" t="inlineStr">
        <is>
          <t>How concerned is the company about over-dependence on a single vendor ecosystem?</t>
        </is>
      </c>
    </row>
    <row r="34">
      <c r="A34" s="3" t="inlineStr">
        <is>
          <t>5. Governance and Compliance Need</t>
        </is>
      </c>
      <c r="B34" s="9" t="inlineStr">
        <is>
          <t>How important are regulatory compliance, auditability, and AI governance controls?</t>
        </is>
      </c>
    </row>
    <row r="35">
      <c r="A35" s="3" t="inlineStr">
        <is>
          <t>6. Data and IP Sensitivity</t>
        </is>
      </c>
      <c r="B35" s="9" t="inlineStr">
        <is>
          <t>How sensitive is the data and intellectual property involved in AI workflows?</t>
        </is>
      </c>
    </row>
    <row r="36">
      <c r="A36" s="3" t="inlineStr">
        <is>
          <t>7. Model Flexibility Requirement</t>
        </is>
      </c>
      <c r="B36" s="9" t="inlineStr">
        <is>
          <t>How important is the ability to switch between AI models and providers?</t>
        </is>
      </c>
    </row>
    <row r="37">
      <c r="A37" s="3" t="inlineStr">
        <is>
          <t>8. Cost Control Pressure</t>
        </is>
      </c>
      <c r="B37" s="9" t="inlineStr">
        <is>
          <t>How strongly does the company need to control and optimize AI-related costs?</t>
        </is>
      </c>
    </row>
    <row r="38">
      <c r="A38" s="3" t="inlineStr">
        <is>
          <t>9. Internal Capability Readiness</t>
        </is>
      </c>
      <c r="B38" s="9" t="inlineStr">
        <is>
          <t>Does the company have the internal talent, skills, and maturity to operate independent AI?</t>
        </is>
      </c>
    </row>
    <row r="39">
      <c r="A39" s="3" t="inlineStr">
        <is>
          <t>10. Speed to Implementation</t>
        </is>
      </c>
      <c r="B39" s="9" t="inlineStr">
        <is>
          <t>How quickly must AI capabilities be deployed and operational?</t>
        </is>
      </c>
    </row>
  </sheetData>
  <mergeCells count="2">
    <mergeCell ref="A1:C1"/>
    <mergeCell ref="A2:C2"/>
  </mergeCells>
  <pageMargins left="0.75" right="0.75" top="1" bottom="1" header="0.5" footer="0.5"/>
</worksheet>
</file>

<file path=xl/worksheets/sheet3.xml><?xml version="1.0" encoding="utf-8"?>
<worksheet xmlns="http://schemas.openxmlformats.org/spreadsheetml/2006/main">
  <sheetPr>
    <tabColor rgb="001565C0"/>
    <outlinePr summaryBelow="1" summaryRight="1"/>
    <pageSetUpPr/>
  </sheetPr>
  <dimension ref="A1:H4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14" customWidth="1" min="3" max="3"/>
    <col width="28" customWidth="1" min="4" max="4"/>
    <col width="42" customWidth="1" min="5" max="5"/>
    <col hidden="1" width="14" customWidth="1" min="6" max="6"/>
    <col hidden="1" width="12" customWidth="1" min="7" max="7"/>
    <col hidden="1" width="12" customWidth="1" min="8" max="8"/>
  </cols>
  <sheetData>
    <row r="1" ht="35" customHeight="1">
      <c r="A1" s="10" t="inlineStr">
        <is>
          <t>Pairwise Criteria Comparison</t>
        </is>
      </c>
    </row>
    <row r="2">
      <c r="A2" s="11" t="inlineStr">
        <is>
          <t>For each pair, select which criterion is more important to your organization's AI strategy.</t>
        </is>
      </c>
    </row>
    <row r="3">
      <c r="A3" s="12" t="inlineStr">
        <is>
          <t>Tip: Just pick from the dropdown -- no numbers needed. If you're unsure, choose "Equal importance".</t>
        </is>
      </c>
    </row>
    <row r="4">
      <c r="A4" s="13" t="inlineStr">
        <is>
          <t>#</t>
        </is>
      </c>
      <c r="B4" s="13" t="inlineStr">
        <is>
          <t>Criterion A</t>
        </is>
      </c>
      <c r="C4" s="13" t="inlineStr">
        <is>
          <t>compared to</t>
        </is>
      </c>
      <c r="D4" s="13" t="inlineStr">
        <is>
          <t>Criterion B</t>
        </is>
      </c>
      <c r="E4" s="13" t="inlineStr">
        <is>
          <t>Your Judgement</t>
        </is>
      </c>
      <c r="F4" s="14" t="inlineStr">
        <is>
          <t>Saaty Value</t>
        </is>
      </c>
      <c r="G4" s="14" t="inlineStr">
        <is>
          <t>ID_A</t>
        </is>
      </c>
      <c r="H4" s="14" t="inlineStr">
        <is>
          <t>ID_B</t>
        </is>
      </c>
    </row>
    <row r="5">
      <c r="A5" s="15" t="n">
        <v>1</v>
      </c>
      <c r="B5" s="16" t="inlineStr">
        <is>
          <t>Business Criticality</t>
        </is>
      </c>
      <c r="C5" s="15" t="inlineStr">
        <is>
          <t>compared to</t>
        </is>
      </c>
      <c r="D5" s="16" t="inlineStr">
        <is>
          <t>Agentic Ambition</t>
        </is>
      </c>
      <c r="E5" s="17" t="n"/>
      <c r="F5">
        <f>IF(E5="","",VLOOKUP(E5,Config!$A$2:$B$10,2,FALSE))</f>
        <v/>
      </c>
      <c r="G5" t="inlineStr">
        <is>
          <t>7584e9ca-c27d-464d-af8a-8aef08588e65</t>
        </is>
      </c>
      <c r="H5" t="inlineStr">
        <is>
          <t>0a1f7d7e-86c9-4f2e-960c-4b13e16b64bb</t>
        </is>
      </c>
    </row>
    <row r="6">
      <c r="A6" s="18" t="n">
        <v>2</v>
      </c>
      <c r="B6" s="19" t="inlineStr">
        <is>
          <t>Business Criticality</t>
        </is>
      </c>
      <c r="C6" s="18" t="inlineStr">
        <is>
          <t>compared to</t>
        </is>
      </c>
      <c r="D6" s="19" t="inlineStr">
        <is>
          <t>System Complexity</t>
        </is>
      </c>
      <c r="E6" s="17" t="n"/>
      <c r="F6">
        <f>IF(E6="","",VLOOKUP(E6,Config!$A$2:$B$10,2,FALSE))</f>
        <v/>
      </c>
      <c r="G6" t="inlineStr">
        <is>
          <t>7584e9ca-c27d-464d-af8a-8aef08588e65</t>
        </is>
      </c>
      <c r="H6" t="inlineStr">
        <is>
          <t>acc8d6cf-59bc-481f-8191-badd26cfd225</t>
        </is>
      </c>
    </row>
    <row r="7">
      <c r="A7" s="15" t="n">
        <v>3</v>
      </c>
      <c r="B7" s="16" t="inlineStr">
        <is>
          <t>Business Criticality</t>
        </is>
      </c>
      <c r="C7" s="15" t="inlineStr">
        <is>
          <t>compared to</t>
        </is>
      </c>
      <c r="D7" s="16" t="inlineStr">
        <is>
          <t>Vendor Dependency Risk</t>
        </is>
      </c>
      <c r="E7" s="17" t="n"/>
      <c r="F7">
        <f>IF(E7="","",VLOOKUP(E7,Config!$A$2:$B$10,2,FALSE))</f>
        <v/>
      </c>
      <c r="G7" t="inlineStr">
        <is>
          <t>7584e9ca-c27d-464d-af8a-8aef08588e65</t>
        </is>
      </c>
      <c r="H7" t="inlineStr">
        <is>
          <t>9305e238-2507-4f7e-acfb-3f15389545db</t>
        </is>
      </c>
    </row>
    <row r="8">
      <c r="A8" s="18" t="n">
        <v>4</v>
      </c>
      <c r="B8" s="19" t="inlineStr">
        <is>
          <t>Business Criticality</t>
        </is>
      </c>
      <c r="C8" s="18" t="inlineStr">
        <is>
          <t>compared to</t>
        </is>
      </c>
      <c r="D8" s="19" t="inlineStr">
        <is>
          <t>Governance and Compliance Need</t>
        </is>
      </c>
      <c r="E8" s="17" t="n"/>
      <c r="F8">
        <f>IF(E8="","",VLOOKUP(E8,Config!$A$2:$B$10,2,FALSE))</f>
        <v/>
      </c>
      <c r="G8" t="inlineStr">
        <is>
          <t>7584e9ca-c27d-464d-af8a-8aef08588e65</t>
        </is>
      </c>
      <c r="H8" t="inlineStr">
        <is>
          <t>2eb3826c-0f6d-4d57-baac-034f22cb8a5e</t>
        </is>
      </c>
    </row>
    <row r="9">
      <c r="A9" s="15" t="n">
        <v>5</v>
      </c>
      <c r="B9" s="16" t="inlineStr">
        <is>
          <t>Business Criticality</t>
        </is>
      </c>
      <c r="C9" s="15" t="inlineStr">
        <is>
          <t>compared to</t>
        </is>
      </c>
      <c r="D9" s="16" t="inlineStr">
        <is>
          <t>Data and IP Sensitivity</t>
        </is>
      </c>
      <c r="E9" s="17" t="n"/>
      <c r="F9">
        <f>IF(E9="","",VLOOKUP(E9,Config!$A$2:$B$10,2,FALSE))</f>
        <v/>
      </c>
      <c r="G9" t="inlineStr">
        <is>
          <t>7584e9ca-c27d-464d-af8a-8aef08588e65</t>
        </is>
      </c>
      <c r="H9" t="inlineStr">
        <is>
          <t>570b565c-33d7-4ea6-b67a-bbde9a49a4fd</t>
        </is>
      </c>
    </row>
    <row r="10">
      <c r="A10" s="18" t="n">
        <v>6</v>
      </c>
      <c r="B10" s="19" t="inlineStr">
        <is>
          <t>Business Criticality</t>
        </is>
      </c>
      <c r="C10" s="18" t="inlineStr">
        <is>
          <t>compared to</t>
        </is>
      </c>
      <c r="D10" s="19" t="inlineStr">
        <is>
          <t>Model Flexibility Requirement</t>
        </is>
      </c>
      <c r="E10" s="17" t="n"/>
      <c r="F10">
        <f>IF(E10="","",VLOOKUP(E10,Config!$A$2:$B$10,2,FALSE))</f>
        <v/>
      </c>
      <c r="G10" t="inlineStr">
        <is>
          <t>7584e9ca-c27d-464d-af8a-8aef08588e65</t>
        </is>
      </c>
      <c r="H10" t="inlineStr">
        <is>
          <t>3ae3514c-9778-4eb7-9c93-1578e5c6b556</t>
        </is>
      </c>
    </row>
    <row r="11">
      <c r="A11" s="15" t="n">
        <v>7</v>
      </c>
      <c r="B11" s="16" t="inlineStr">
        <is>
          <t>Business Criticality</t>
        </is>
      </c>
      <c r="C11" s="15" t="inlineStr">
        <is>
          <t>compared to</t>
        </is>
      </c>
      <c r="D11" s="16" t="inlineStr">
        <is>
          <t>Cost Control Pressure</t>
        </is>
      </c>
      <c r="E11" s="17" t="n"/>
      <c r="F11">
        <f>IF(E11="","",VLOOKUP(E11,Config!$A$2:$B$10,2,FALSE))</f>
        <v/>
      </c>
      <c r="G11" t="inlineStr">
        <is>
          <t>7584e9ca-c27d-464d-af8a-8aef08588e65</t>
        </is>
      </c>
      <c r="H11" t="inlineStr">
        <is>
          <t>6c9723af-a153-4f3c-a15a-4055c7f43829</t>
        </is>
      </c>
    </row>
    <row r="12">
      <c r="A12" s="18" t="n">
        <v>8</v>
      </c>
      <c r="B12" s="19" t="inlineStr">
        <is>
          <t>Business Criticality</t>
        </is>
      </c>
      <c r="C12" s="18" t="inlineStr">
        <is>
          <t>compared to</t>
        </is>
      </c>
      <c r="D12" s="19" t="inlineStr">
        <is>
          <t>Internal Capability Readiness</t>
        </is>
      </c>
      <c r="E12" s="17" t="n"/>
      <c r="F12">
        <f>IF(E12="","",VLOOKUP(E12,Config!$A$2:$B$10,2,FALSE))</f>
        <v/>
      </c>
      <c r="G12" t="inlineStr">
        <is>
          <t>7584e9ca-c27d-464d-af8a-8aef08588e65</t>
        </is>
      </c>
      <c r="H12" t="inlineStr">
        <is>
          <t>fddcb7bb-66e0-491f-85ae-8bb67c2670c6</t>
        </is>
      </c>
    </row>
    <row r="13">
      <c r="A13" s="15" t="n">
        <v>9</v>
      </c>
      <c r="B13" s="16" t="inlineStr">
        <is>
          <t>Business Criticality</t>
        </is>
      </c>
      <c r="C13" s="15" t="inlineStr">
        <is>
          <t>compared to</t>
        </is>
      </c>
      <c r="D13" s="16" t="inlineStr">
        <is>
          <t>Speed to Implementation</t>
        </is>
      </c>
      <c r="E13" s="17" t="n"/>
      <c r="F13">
        <f>IF(E13="","",VLOOKUP(E13,Config!$A$2:$B$10,2,FALSE))</f>
        <v/>
      </c>
      <c r="G13" t="inlineStr">
        <is>
          <t>7584e9ca-c27d-464d-af8a-8aef08588e65</t>
        </is>
      </c>
      <c r="H13" t="inlineStr">
        <is>
          <t>ee3fa8fb-0c85-4ae1-a3ce-e7f2f4d3c4e5</t>
        </is>
      </c>
    </row>
    <row r="14">
      <c r="A14" s="18" t="n">
        <v>10</v>
      </c>
      <c r="B14" s="19" t="inlineStr">
        <is>
          <t>Agentic Ambition</t>
        </is>
      </c>
      <c r="C14" s="18" t="inlineStr">
        <is>
          <t>compared to</t>
        </is>
      </c>
      <c r="D14" s="19" t="inlineStr">
        <is>
          <t>System Complexity</t>
        </is>
      </c>
      <c r="E14" s="17" t="n"/>
      <c r="F14">
        <f>IF(E14="","",VLOOKUP(E14,Config!$A$2:$B$10,2,FALSE))</f>
        <v/>
      </c>
      <c r="G14" t="inlineStr">
        <is>
          <t>0a1f7d7e-86c9-4f2e-960c-4b13e16b64bb</t>
        </is>
      </c>
      <c r="H14" t="inlineStr">
        <is>
          <t>acc8d6cf-59bc-481f-8191-badd26cfd225</t>
        </is>
      </c>
    </row>
    <row r="15">
      <c r="A15" s="15" t="n">
        <v>11</v>
      </c>
      <c r="B15" s="16" t="inlineStr">
        <is>
          <t>Agentic Ambition</t>
        </is>
      </c>
      <c r="C15" s="15" t="inlineStr">
        <is>
          <t>compared to</t>
        </is>
      </c>
      <c r="D15" s="16" t="inlineStr">
        <is>
          <t>Vendor Dependency Risk</t>
        </is>
      </c>
      <c r="E15" s="17" t="n"/>
      <c r="F15">
        <f>IF(E15="","",VLOOKUP(E15,Config!$A$2:$B$10,2,FALSE))</f>
        <v/>
      </c>
      <c r="G15" t="inlineStr">
        <is>
          <t>0a1f7d7e-86c9-4f2e-960c-4b13e16b64bb</t>
        </is>
      </c>
      <c r="H15" t="inlineStr">
        <is>
          <t>9305e238-2507-4f7e-acfb-3f15389545db</t>
        </is>
      </c>
    </row>
    <row r="16">
      <c r="A16" s="18" t="n">
        <v>12</v>
      </c>
      <c r="B16" s="19" t="inlineStr">
        <is>
          <t>Agentic Ambition</t>
        </is>
      </c>
      <c r="C16" s="18" t="inlineStr">
        <is>
          <t>compared to</t>
        </is>
      </c>
      <c r="D16" s="19" t="inlineStr">
        <is>
          <t>Governance and Compliance Need</t>
        </is>
      </c>
      <c r="E16" s="17" t="n"/>
      <c r="F16">
        <f>IF(E16="","",VLOOKUP(E16,Config!$A$2:$B$10,2,FALSE))</f>
        <v/>
      </c>
      <c r="G16" t="inlineStr">
        <is>
          <t>0a1f7d7e-86c9-4f2e-960c-4b13e16b64bb</t>
        </is>
      </c>
      <c r="H16" t="inlineStr">
        <is>
          <t>2eb3826c-0f6d-4d57-baac-034f22cb8a5e</t>
        </is>
      </c>
    </row>
    <row r="17">
      <c r="A17" s="15" t="n">
        <v>13</v>
      </c>
      <c r="B17" s="16" t="inlineStr">
        <is>
          <t>Agentic Ambition</t>
        </is>
      </c>
      <c r="C17" s="15" t="inlineStr">
        <is>
          <t>compared to</t>
        </is>
      </c>
      <c r="D17" s="16" t="inlineStr">
        <is>
          <t>Data and IP Sensitivity</t>
        </is>
      </c>
      <c r="E17" s="17" t="n"/>
      <c r="F17">
        <f>IF(E17="","",VLOOKUP(E17,Config!$A$2:$B$10,2,FALSE))</f>
        <v/>
      </c>
      <c r="G17" t="inlineStr">
        <is>
          <t>0a1f7d7e-86c9-4f2e-960c-4b13e16b64bb</t>
        </is>
      </c>
      <c r="H17" t="inlineStr">
        <is>
          <t>570b565c-33d7-4ea6-b67a-bbde9a49a4fd</t>
        </is>
      </c>
    </row>
    <row r="18">
      <c r="A18" s="18" t="n">
        <v>14</v>
      </c>
      <c r="B18" s="19" t="inlineStr">
        <is>
          <t>Agentic Ambition</t>
        </is>
      </c>
      <c r="C18" s="18" t="inlineStr">
        <is>
          <t>compared to</t>
        </is>
      </c>
      <c r="D18" s="19" t="inlineStr">
        <is>
          <t>Model Flexibility Requirement</t>
        </is>
      </c>
      <c r="E18" s="17" t="n"/>
      <c r="F18">
        <f>IF(E18="","",VLOOKUP(E18,Config!$A$2:$B$10,2,FALSE))</f>
        <v/>
      </c>
      <c r="G18" t="inlineStr">
        <is>
          <t>0a1f7d7e-86c9-4f2e-960c-4b13e16b64bb</t>
        </is>
      </c>
      <c r="H18" t="inlineStr">
        <is>
          <t>3ae3514c-9778-4eb7-9c93-1578e5c6b556</t>
        </is>
      </c>
    </row>
    <row r="19">
      <c r="A19" s="15" t="n">
        <v>15</v>
      </c>
      <c r="B19" s="16" t="inlineStr">
        <is>
          <t>Agentic Ambition</t>
        </is>
      </c>
      <c r="C19" s="15" t="inlineStr">
        <is>
          <t>compared to</t>
        </is>
      </c>
      <c r="D19" s="16" t="inlineStr">
        <is>
          <t>Cost Control Pressure</t>
        </is>
      </c>
      <c r="E19" s="17" t="n"/>
      <c r="F19">
        <f>IF(E19="","",VLOOKUP(E19,Config!$A$2:$B$10,2,FALSE))</f>
        <v/>
      </c>
      <c r="G19" t="inlineStr">
        <is>
          <t>0a1f7d7e-86c9-4f2e-960c-4b13e16b64bb</t>
        </is>
      </c>
      <c r="H19" t="inlineStr">
        <is>
          <t>6c9723af-a153-4f3c-a15a-4055c7f43829</t>
        </is>
      </c>
    </row>
    <row r="20">
      <c r="A20" s="18" t="n">
        <v>16</v>
      </c>
      <c r="B20" s="19" t="inlineStr">
        <is>
          <t>Agentic Ambition</t>
        </is>
      </c>
      <c r="C20" s="18" t="inlineStr">
        <is>
          <t>compared to</t>
        </is>
      </c>
      <c r="D20" s="19" t="inlineStr">
        <is>
          <t>Internal Capability Readiness</t>
        </is>
      </c>
      <c r="E20" s="17" t="n"/>
      <c r="F20">
        <f>IF(E20="","",VLOOKUP(E20,Config!$A$2:$B$10,2,FALSE))</f>
        <v/>
      </c>
      <c r="G20" t="inlineStr">
        <is>
          <t>0a1f7d7e-86c9-4f2e-960c-4b13e16b64bb</t>
        </is>
      </c>
      <c r="H20" t="inlineStr">
        <is>
          <t>fddcb7bb-66e0-491f-85ae-8bb67c2670c6</t>
        </is>
      </c>
    </row>
    <row r="21">
      <c r="A21" s="15" t="n">
        <v>17</v>
      </c>
      <c r="B21" s="16" t="inlineStr">
        <is>
          <t>Agentic Ambition</t>
        </is>
      </c>
      <c r="C21" s="15" t="inlineStr">
        <is>
          <t>compared to</t>
        </is>
      </c>
      <c r="D21" s="16" t="inlineStr">
        <is>
          <t>Speed to Implementation</t>
        </is>
      </c>
      <c r="E21" s="17" t="n"/>
      <c r="F21">
        <f>IF(E21="","",VLOOKUP(E21,Config!$A$2:$B$10,2,FALSE))</f>
        <v/>
      </c>
      <c r="G21" t="inlineStr">
        <is>
          <t>0a1f7d7e-86c9-4f2e-960c-4b13e16b64bb</t>
        </is>
      </c>
      <c r="H21" t="inlineStr">
        <is>
          <t>ee3fa8fb-0c85-4ae1-a3ce-e7f2f4d3c4e5</t>
        </is>
      </c>
    </row>
    <row r="22">
      <c r="A22" s="18" t="n">
        <v>18</v>
      </c>
      <c r="B22" s="19" t="inlineStr">
        <is>
          <t>System Complexity</t>
        </is>
      </c>
      <c r="C22" s="18" t="inlineStr">
        <is>
          <t>compared to</t>
        </is>
      </c>
      <c r="D22" s="19" t="inlineStr">
        <is>
          <t>Vendor Dependency Risk</t>
        </is>
      </c>
      <c r="E22" s="17" t="n"/>
      <c r="F22">
        <f>IF(E22="","",VLOOKUP(E22,Config!$A$2:$B$10,2,FALSE))</f>
        <v/>
      </c>
      <c r="G22" t="inlineStr">
        <is>
          <t>acc8d6cf-59bc-481f-8191-badd26cfd225</t>
        </is>
      </c>
      <c r="H22" t="inlineStr">
        <is>
          <t>9305e238-2507-4f7e-acfb-3f15389545db</t>
        </is>
      </c>
    </row>
    <row r="23">
      <c r="A23" s="15" t="n">
        <v>19</v>
      </c>
      <c r="B23" s="16" t="inlineStr">
        <is>
          <t>System Complexity</t>
        </is>
      </c>
      <c r="C23" s="15" t="inlineStr">
        <is>
          <t>compared to</t>
        </is>
      </c>
      <c r="D23" s="16" t="inlineStr">
        <is>
          <t>Governance and Compliance Need</t>
        </is>
      </c>
      <c r="E23" s="17" t="n"/>
      <c r="F23">
        <f>IF(E23="","",VLOOKUP(E23,Config!$A$2:$B$10,2,FALSE))</f>
        <v/>
      </c>
      <c r="G23" t="inlineStr">
        <is>
          <t>acc8d6cf-59bc-481f-8191-badd26cfd225</t>
        </is>
      </c>
      <c r="H23" t="inlineStr">
        <is>
          <t>2eb3826c-0f6d-4d57-baac-034f22cb8a5e</t>
        </is>
      </c>
    </row>
    <row r="24">
      <c r="A24" s="18" t="n">
        <v>20</v>
      </c>
      <c r="B24" s="19" t="inlineStr">
        <is>
          <t>System Complexity</t>
        </is>
      </c>
      <c r="C24" s="18" t="inlineStr">
        <is>
          <t>compared to</t>
        </is>
      </c>
      <c r="D24" s="19" t="inlineStr">
        <is>
          <t>Data and IP Sensitivity</t>
        </is>
      </c>
      <c r="E24" s="17" t="n"/>
      <c r="F24">
        <f>IF(E24="","",VLOOKUP(E24,Config!$A$2:$B$10,2,FALSE))</f>
        <v/>
      </c>
      <c r="G24" t="inlineStr">
        <is>
          <t>acc8d6cf-59bc-481f-8191-badd26cfd225</t>
        </is>
      </c>
      <c r="H24" t="inlineStr">
        <is>
          <t>570b565c-33d7-4ea6-b67a-bbde9a49a4fd</t>
        </is>
      </c>
    </row>
    <row r="25">
      <c r="A25" s="15" t="n">
        <v>21</v>
      </c>
      <c r="B25" s="16" t="inlineStr">
        <is>
          <t>System Complexity</t>
        </is>
      </c>
      <c r="C25" s="15" t="inlineStr">
        <is>
          <t>compared to</t>
        </is>
      </c>
      <c r="D25" s="16" t="inlineStr">
        <is>
          <t>Model Flexibility Requirement</t>
        </is>
      </c>
      <c r="E25" s="17" t="n"/>
      <c r="F25">
        <f>IF(E25="","",VLOOKUP(E25,Config!$A$2:$B$10,2,FALSE))</f>
        <v/>
      </c>
      <c r="G25" t="inlineStr">
        <is>
          <t>acc8d6cf-59bc-481f-8191-badd26cfd225</t>
        </is>
      </c>
      <c r="H25" t="inlineStr">
        <is>
          <t>3ae3514c-9778-4eb7-9c93-1578e5c6b556</t>
        </is>
      </c>
    </row>
    <row r="26">
      <c r="A26" s="18" t="n">
        <v>22</v>
      </c>
      <c r="B26" s="19" t="inlineStr">
        <is>
          <t>System Complexity</t>
        </is>
      </c>
      <c r="C26" s="18" t="inlineStr">
        <is>
          <t>compared to</t>
        </is>
      </c>
      <c r="D26" s="19" t="inlineStr">
        <is>
          <t>Cost Control Pressure</t>
        </is>
      </c>
      <c r="E26" s="17" t="n"/>
      <c r="F26">
        <f>IF(E26="","",VLOOKUP(E26,Config!$A$2:$B$10,2,FALSE))</f>
        <v/>
      </c>
      <c r="G26" t="inlineStr">
        <is>
          <t>acc8d6cf-59bc-481f-8191-badd26cfd225</t>
        </is>
      </c>
      <c r="H26" t="inlineStr">
        <is>
          <t>6c9723af-a153-4f3c-a15a-4055c7f43829</t>
        </is>
      </c>
    </row>
    <row r="27">
      <c r="A27" s="15" t="n">
        <v>23</v>
      </c>
      <c r="B27" s="16" t="inlineStr">
        <is>
          <t>System Complexity</t>
        </is>
      </c>
      <c r="C27" s="15" t="inlineStr">
        <is>
          <t>compared to</t>
        </is>
      </c>
      <c r="D27" s="16" t="inlineStr">
        <is>
          <t>Internal Capability Readiness</t>
        </is>
      </c>
      <c r="E27" s="17" t="n"/>
      <c r="F27">
        <f>IF(E27="","",VLOOKUP(E27,Config!$A$2:$B$10,2,FALSE))</f>
        <v/>
      </c>
      <c r="G27" t="inlineStr">
        <is>
          <t>acc8d6cf-59bc-481f-8191-badd26cfd225</t>
        </is>
      </c>
      <c r="H27" t="inlineStr">
        <is>
          <t>fddcb7bb-66e0-491f-85ae-8bb67c2670c6</t>
        </is>
      </c>
    </row>
    <row r="28">
      <c r="A28" s="18" t="n">
        <v>24</v>
      </c>
      <c r="B28" s="19" t="inlineStr">
        <is>
          <t>System Complexity</t>
        </is>
      </c>
      <c r="C28" s="18" t="inlineStr">
        <is>
          <t>compared to</t>
        </is>
      </c>
      <c r="D28" s="19" t="inlineStr">
        <is>
          <t>Speed to Implementation</t>
        </is>
      </c>
      <c r="E28" s="17" t="n"/>
      <c r="F28">
        <f>IF(E28="","",VLOOKUP(E28,Config!$A$2:$B$10,2,FALSE))</f>
        <v/>
      </c>
      <c r="G28" t="inlineStr">
        <is>
          <t>acc8d6cf-59bc-481f-8191-badd26cfd225</t>
        </is>
      </c>
      <c r="H28" t="inlineStr">
        <is>
          <t>ee3fa8fb-0c85-4ae1-a3ce-e7f2f4d3c4e5</t>
        </is>
      </c>
    </row>
    <row r="29">
      <c r="A29" s="15" t="n">
        <v>25</v>
      </c>
      <c r="B29" s="16" t="inlineStr">
        <is>
          <t>Vendor Dependency Risk</t>
        </is>
      </c>
      <c r="C29" s="15" t="inlineStr">
        <is>
          <t>compared to</t>
        </is>
      </c>
      <c r="D29" s="16" t="inlineStr">
        <is>
          <t>Governance and Compliance Need</t>
        </is>
      </c>
      <c r="E29" s="17" t="n"/>
      <c r="F29">
        <f>IF(E29="","",VLOOKUP(E29,Config!$A$2:$B$10,2,FALSE))</f>
        <v/>
      </c>
      <c r="G29" t="inlineStr">
        <is>
          <t>9305e238-2507-4f7e-acfb-3f15389545db</t>
        </is>
      </c>
      <c r="H29" t="inlineStr">
        <is>
          <t>2eb3826c-0f6d-4d57-baac-034f22cb8a5e</t>
        </is>
      </c>
    </row>
    <row r="30">
      <c r="A30" s="18" t="n">
        <v>26</v>
      </c>
      <c r="B30" s="19" t="inlineStr">
        <is>
          <t>Vendor Dependency Risk</t>
        </is>
      </c>
      <c r="C30" s="18" t="inlineStr">
        <is>
          <t>compared to</t>
        </is>
      </c>
      <c r="D30" s="19" t="inlineStr">
        <is>
          <t>Data and IP Sensitivity</t>
        </is>
      </c>
      <c r="E30" s="17" t="n"/>
      <c r="F30">
        <f>IF(E30="","",VLOOKUP(E30,Config!$A$2:$B$10,2,FALSE))</f>
        <v/>
      </c>
      <c r="G30" t="inlineStr">
        <is>
          <t>9305e238-2507-4f7e-acfb-3f15389545db</t>
        </is>
      </c>
      <c r="H30" t="inlineStr">
        <is>
          <t>570b565c-33d7-4ea6-b67a-bbde9a49a4fd</t>
        </is>
      </c>
    </row>
    <row r="31">
      <c r="A31" s="15" t="n">
        <v>27</v>
      </c>
      <c r="B31" s="16" t="inlineStr">
        <is>
          <t>Vendor Dependency Risk</t>
        </is>
      </c>
      <c r="C31" s="15" t="inlineStr">
        <is>
          <t>compared to</t>
        </is>
      </c>
      <c r="D31" s="16" t="inlineStr">
        <is>
          <t>Model Flexibility Requirement</t>
        </is>
      </c>
      <c r="E31" s="17" t="n"/>
      <c r="F31">
        <f>IF(E31="","",VLOOKUP(E31,Config!$A$2:$B$10,2,FALSE))</f>
        <v/>
      </c>
      <c r="G31" t="inlineStr">
        <is>
          <t>9305e238-2507-4f7e-acfb-3f15389545db</t>
        </is>
      </c>
      <c r="H31" t="inlineStr">
        <is>
          <t>3ae3514c-9778-4eb7-9c93-1578e5c6b556</t>
        </is>
      </c>
    </row>
    <row r="32">
      <c r="A32" s="18" t="n">
        <v>28</v>
      </c>
      <c r="B32" s="19" t="inlineStr">
        <is>
          <t>Vendor Dependency Risk</t>
        </is>
      </c>
      <c r="C32" s="18" t="inlineStr">
        <is>
          <t>compared to</t>
        </is>
      </c>
      <c r="D32" s="19" t="inlineStr">
        <is>
          <t>Cost Control Pressure</t>
        </is>
      </c>
      <c r="E32" s="17" t="n"/>
      <c r="F32">
        <f>IF(E32="","",VLOOKUP(E32,Config!$A$2:$B$10,2,FALSE))</f>
        <v/>
      </c>
      <c r="G32" t="inlineStr">
        <is>
          <t>9305e238-2507-4f7e-acfb-3f15389545db</t>
        </is>
      </c>
      <c r="H32" t="inlineStr">
        <is>
          <t>6c9723af-a153-4f3c-a15a-4055c7f43829</t>
        </is>
      </c>
    </row>
    <row r="33">
      <c r="A33" s="15" t="n">
        <v>29</v>
      </c>
      <c r="B33" s="16" t="inlineStr">
        <is>
          <t>Vendor Dependency Risk</t>
        </is>
      </c>
      <c r="C33" s="15" t="inlineStr">
        <is>
          <t>compared to</t>
        </is>
      </c>
      <c r="D33" s="16" t="inlineStr">
        <is>
          <t>Internal Capability Readiness</t>
        </is>
      </c>
      <c r="E33" s="17" t="n"/>
      <c r="F33">
        <f>IF(E33="","",VLOOKUP(E33,Config!$A$2:$B$10,2,FALSE))</f>
        <v/>
      </c>
      <c r="G33" t="inlineStr">
        <is>
          <t>9305e238-2507-4f7e-acfb-3f15389545db</t>
        </is>
      </c>
      <c r="H33" t="inlineStr">
        <is>
          <t>fddcb7bb-66e0-491f-85ae-8bb67c2670c6</t>
        </is>
      </c>
    </row>
    <row r="34">
      <c r="A34" s="18" t="n">
        <v>30</v>
      </c>
      <c r="B34" s="19" t="inlineStr">
        <is>
          <t>Vendor Dependency Risk</t>
        </is>
      </c>
      <c r="C34" s="18" t="inlineStr">
        <is>
          <t>compared to</t>
        </is>
      </c>
      <c r="D34" s="19" t="inlineStr">
        <is>
          <t>Speed to Implementation</t>
        </is>
      </c>
      <c r="E34" s="17" t="n"/>
      <c r="F34">
        <f>IF(E34="","",VLOOKUP(E34,Config!$A$2:$B$10,2,FALSE))</f>
        <v/>
      </c>
      <c r="G34" t="inlineStr">
        <is>
          <t>9305e238-2507-4f7e-acfb-3f15389545db</t>
        </is>
      </c>
      <c r="H34" t="inlineStr">
        <is>
          <t>ee3fa8fb-0c85-4ae1-a3ce-e7f2f4d3c4e5</t>
        </is>
      </c>
    </row>
    <row r="35">
      <c r="A35" s="15" t="n">
        <v>31</v>
      </c>
      <c r="B35" s="16" t="inlineStr">
        <is>
          <t>Governance and Compliance Need</t>
        </is>
      </c>
      <c r="C35" s="15" t="inlineStr">
        <is>
          <t>compared to</t>
        </is>
      </c>
      <c r="D35" s="16" t="inlineStr">
        <is>
          <t>Data and IP Sensitivity</t>
        </is>
      </c>
      <c r="E35" s="17" t="n"/>
      <c r="F35">
        <f>IF(E35="","",VLOOKUP(E35,Config!$A$2:$B$10,2,FALSE))</f>
        <v/>
      </c>
      <c r="G35" t="inlineStr">
        <is>
          <t>2eb3826c-0f6d-4d57-baac-034f22cb8a5e</t>
        </is>
      </c>
      <c r="H35" t="inlineStr">
        <is>
          <t>570b565c-33d7-4ea6-b67a-bbde9a49a4fd</t>
        </is>
      </c>
    </row>
    <row r="36">
      <c r="A36" s="18" t="n">
        <v>32</v>
      </c>
      <c r="B36" s="19" t="inlineStr">
        <is>
          <t>Governance and Compliance Need</t>
        </is>
      </c>
      <c r="C36" s="18" t="inlineStr">
        <is>
          <t>compared to</t>
        </is>
      </c>
      <c r="D36" s="19" t="inlineStr">
        <is>
          <t>Model Flexibility Requirement</t>
        </is>
      </c>
      <c r="E36" s="17" t="n"/>
      <c r="F36">
        <f>IF(E36="","",VLOOKUP(E36,Config!$A$2:$B$10,2,FALSE))</f>
        <v/>
      </c>
      <c r="G36" t="inlineStr">
        <is>
          <t>2eb3826c-0f6d-4d57-baac-034f22cb8a5e</t>
        </is>
      </c>
      <c r="H36" t="inlineStr">
        <is>
          <t>3ae3514c-9778-4eb7-9c93-1578e5c6b556</t>
        </is>
      </c>
    </row>
    <row r="37">
      <c r="A37" s="15" t="n">
        <v>33</v>
      </c>
      <c r="B37" s="16" t="inlineStr">
        <is>
          <t>Governance and Compliance Need</t>
        </is>
      </c>
      <c r="C37" s="15" t="inlineStr">
        <is>
          <t>compared to</t>
        </is>
      </c>
      <c r="D37" s="16" t="inlineStr">
        <is>
          <t>Cost Control Pressure</t>
        </is>
      </c>
      <c r="E37" s="17" t="n"/>
      <c r="F37">
        <f>IF(E37="","",VLOOKUP(E37,Config!$A$2:$B$10,2,FALSE))</f>
        <v/>
      </c>
      <c r="G37" t="inlineStr">
        <is>
          <t>2eb3826c-0f6d-4d57-baac-034f22cb8a5e</t>
        </is>
      </c>
      <c r="H37" t="inlineStr">
        <is>
          <t>6c9723af-a153-4f3c-a15a-4055c7f43829</t>
        </is>
      </c>
    </row>
    <row r="38">
      <c r="A38" s="18" t="n">
        <v>34</v>
      </c>
      <c r="B38" s="19" t="inlineStr">
        <is>
          <t>Governance and Compliance Need</t>
        </is>
      </c>
      <c r="C38" s="18" t="inlineStr">
        <is>
          <t>compared to</t>
        </is>
      </c>
      <c r="D38" s="19" t="inlineStr">
        <is>
          <t>Internal Capability Readiness</t>
        </is>
      </c>
      <c r="E38" s="17" t="n"/>
      <c r="F38">
        <f>IF(E38="","",VLOOKUP(E38,Config!$A$2:$B$10,2,FALSE))</f>
        <v/>
      </c>
      <c r="G38" t="inlineStr">
        <is>
          <t>2eb3826c-0f6d-4d57-baac-034f22cb8a5e</t>
        </is>
      </c>
      <c r="H38" t="inlineStr">
        <is>
          <t>fddcb7bb-66e0-491f-85ae-8bb67c2670c6</t>
        </is>
      </c>
    </row>
    <row r="39">
      <c r="A39" s="15" t="n">
        <v>35</v>
      </c>
      <c r="B39" s="16" t="inlineStr">
        <is>
          <t>Governance and Compliance Need</t>
        </is>
      </c>
      <c r="C39" s="15" t="inlineStr">
        <is>
          <t>compared to</t>
        </is>
      </c>
      <c r="D39" s="16" t="inlineStr">
        <is>
          <t>Speed to Implementation</t>
        </is>
      </c>
      <c r="E39" s="17" t="n"/>
      <c r="F39">
        <f>IF(E39="","",VLOOKUP(E39,Config!$A$2:$B$10,2,FALSE))</f>
        <v/>
      </c>
      <c r="G39" t="inlineStr">
        <is>
          <t>2eb3826c-0f6d-4d57-baac-034f22cb8a5e</t>
        </is>
      </c>
      <c r="H39" t="inlineStr">
        <is>
          <t>ee3fa8fb-0c85-4ae1-a3ce-e7f2f4d3c4e5</t>
        </is>
      </c>
    </row>
    <row r="40">
      <c r="A40" s="18" t="n">
        <v>36</v>
      </c>
      <c r="B40" s="19" t="inlineStr">
        <is>
          <t>Data and IP Sensitivity</t>
        </is>
      </c>
      <c r="C40" s="18" t="inlineStr">
        <is>
          <t>compared to</t>
        </is>
      </c>
      <c r="D40" s="19" t="inlineStr">
        <is>
          <t>Model Flexibility Requirement</t>
        </is>
      </c>
      <c r="E40" s="17" t="n"/>
      <c r="F40">
        <f>IF(E40="","",VLOOKUP(E40,Config!$A$2:$B$10,2,FALSE))</f>
        <v/>
      </c>
      <c r="G40" t="inlineStr">
        <is>
          <t>570b565c-33d7-4ea6-b67a-bbde9a49a4fd</t>
        </is>
      </c>
      <c r="H40" t="inlineStr">
        <is>
          <t>3ae3514c-9778-4eb7-9c93-1578e5c6b556</t>
        </is>
      </c>
    </row>
    <row r="41">
      <c r="A41" s="15" t="n">
        <v>37</v>
      </c>
      <c r="B41" s="16" t="inlineStr">
        <is>
          <t>Data and IP Sensitivity</t>
        </is>
      </c>
      <c r="C41" s="15" t="inlineStr">
        <is>
          <t>compared to</t>
        </is>
      </c>
      <c r="D41" s="16" t="inlineStr">
        <is>
          <t>Cost Control Pressure</t>
        </is>
      </c>
      <c r="E41" s="17" t="n"/>
      <c r="F41">
        <f>IF(E41="","",VLOOKUP(E41,Config!$A$2:$B$10,2,FALSE))</f>
        <v/>
      </c>
      <c r="G41" t="inlineStr">
        <is>
          <t>570b565c-33d7-4ea6-b67a-bbde9a49a4fd</t>
        </is>
      </c>
      <c r="H41" t="inlineStr">
        <is>
          <t>6c9723af-a153-4f3c-a15a-4055c7f43829</t>
        </is>
      </c>
    </row>
    <row r="42">
      <c r="A42" s="18" t="n">
        <v>38</v>
      </c>
      <c r="B42" s="19" t="inlineStr">
        <is>
          <t>Data and IP Sensitivity</t>
        </is>
      </c>
      <c r="C42" s="18" t="inlineStr">
        <is>
          <t>compared to</t>
        </is>
      </c>
      <c r="D42" s="19" t="inlineStr">
        <is>
          <t>Internal Capability Readiness</t>
        </is>
      </c>
      <c r="E42" s="17" t="n"/>
      <c r="F42">
        <f>IF(E42="","",VLOOKUP(E42,Config!$A$2:$B$10,2,FALSE))</f>
        <v/>
      </c>
      <c r="G42" t="inlineStr">
        <is>
          <t>570b565c-33d7-4ea6-b67a-bbde9a49a4fd</t>
        </is>
      </c>
      <c r="H42" t="inlineStr">
        <is>
          <t>fddcb7bb-66e0-491f-85ae-8bb67c2670c6</t>
        </is>
      </c>
    </row>
    <row r="43">
      <c r="A43" s="15" t="n">
        <v>39</v>
      </c>
      <c r="B43" s="16" t="inlineStr">
        <is>
          <t>Data and IP Sensitivity</t>
        </is>
      </c>
      <c r="C43" s="15" t="inlineStr">
        <is>
          <t>compared to</t>
        </is>
      </c>
      <c r="D43" s="16" t="inlineStr">
        <is>
          <t>Speed to Implementation</t>
        </is>
      </c>
      <c r="E43" s="17" t="n"/>
      <c r="F43">
        <f>IF(E43="","",VLOOKUP(E43,Config!$A$2:$B$10,2,FALSE))</f>
        <v/>
      </c>
      <c r="G43" t="inlineStr">
        <is>
          <t>570b565c-33d7-4ea6-b67a-bbde9a49a4fd</t>
        </is>
      </c>
      <c r="H43" t="inlineStr">
        <is>
          <t>ee3fa8fb-0c85-4ae1-a3ce-e7f2f4d3c4e5</t>
        </is>
      </c>
    </row>
    <row r="44">
      <c r="A44" s="18" t="n">
        <v>40</v>
      </c>
      <c r="B44" s="19" t="inlineStr">
        <is>
          <t>Model Flexibility Requirement</t>
        </is>
      </c>
      <c r="C44" s="18" t="inlineStr">
        <is>
          <t>compared to</t>
        </is>
      </c>
      <c r="D44" s="19" t="inlineStr">
        <is>
          <t>Cost Control Pressure</t>
        </is>
      </c>
      <c r="E44" s="17" t="n"/>
      <c r="F44">
        <f>IF(E44="","",VLOOKUP(E44,Config!$A$2:$B$10,2,FALSE))</f>
        <v/>
      </c>
      <c r="G44" t="inlineStr">
        <is>
          <t>3ae3514c-9778-4eb7-9c93-1578e5c6b556</t>
        </is>
      </c>
      <c r="H44" t="inlineStr">
        <is>
          <t>6c9723af-a153-4f3c-a15a-4055c7f43829</t>
        </is>
      </c>
    </row>
    <row r="45">
      <c r="A45" s="15" t="n">
        <v>41</v>
      </c>
      <c r="B45" s="16" t="inlineStr">
        <is>
          <t>Model Flexibility Requirement</t>
        </is>
      </c>
      <c r="C45" s="15" t="inlineStr">
        <is>
          <t>compared to</t>
        </is>
      </c>
      <c r="D45" s="16" t="inlineStr">
        <is>
          <t>Internal Capability Readiness</t>
        </is>
      </c>
      <c r="E45" s="17" t="n"/>
      <c r="F45">
        <f>IF(E45="","",VLOOKUP(E45,Config!$A$2:$B$10,2,FALSE))</f>
        <v/>
      </c>
      <c r="G45" t="inlineStr">
        <is>
          <t>3ae3514c-9778-4eb7-9c93-1578e5c6b556</t>
        </is>
      </c>
      <c r="H45" t="inlineStr">
        <is>
          <t>fddcb7bb-66e0-491f-85ae-8bb67c2670c6</t>
        </is>
      </c>
    </row>
    <row r="46">
      <c r="A46" s="18" t="n">
        <v>42</v>
      </c>
      <c r="B46" s="19" t="inlineStr">
        <is>
          <t>Model Flexibility Requirement</t>
        </is>
      </c>
      <c r="C46" s="18" t="inlineStr">
        <is>
          <t>compared to</t>
        </is>
      </c>
      <c r="D46" s="19" t="inlineStr">
        <is>
          <t>Speed to Implementation</t>
        </is>
      </c>
      <c r="E46" s="17" t="n"/>
      <c r="F46">
        <f>IF(E46="","",VLOOKUP(E46,Config!$A$2:$B$10,2,FALSE))</f>
        <v/>
      </c>
      <c r="G46" t="inlineStr">
        <is>
          <t>3ae3514c-9778-4eb7-9c93-1578e5c6b556</t>
        </is>
      </c>
      <c r="H46" t="inlineStr">
        <is>
          <t>ee3fa8fb-0c85-4ae1-a3ce-e7f2f4d3c4e5</t>
        </is>
      </c>
    </row>
    <row r="47">
      <c r="A47" s="15" t="n">
        <v>43</v>
      </c>
      <c r="B47" s="16" t="inlineStr">
        <is>
          <t>Cost Control Pressure</t>
        </is>
      </c>
      <c r="C47" s="15" t="inlineStr">
        <is>
          <t>compared to</t>
        </is>
      </c>
      <c r="D47" s="16" t="inlineStr">
        <is>
          <t>Internal Capability Readiness</t>
        </is>
      </c>
      <c r="E47" s="17" t="n"/>
      <c r="F47">
        <f>IF(E47="","",VLOOKUP(E47,Config!$A$2:$B$10,2,FALSE))</f>
        <v/>
      </c>
      <c r="G47" t="inlineStr">
        <is>
          <t>6c9723af-a153-4f3c-a15a-4055c7f43829</t>
        </is>
      </c>
      <c r="H47" t="inlineStr">
        <is>
          <t>fddcb7bb-66e0-491f-85ae-8bb67c2670c6</t>
        </is>
      </c>
    </row>
    <row r="48">
      <c r="A48" s="18" t="n">
        <v>44</v>
      </c>
      <c r="B48" s="19" t="inlineStr">
        <is>
          <t>Cost Control Pressure</t>
        </is>
      </c>
      <c r="C48" s="18" t="inlineStr">
        <is>
          <t>compared to</t>
        </is>
      </c>
      <c r="D48" s="19" t="inlineStr">
        <is>
          <t>Speed to Implementation</t>
        </is>
      </c>
      <c r="E48" s="17" t="n"/>
      <c r="F48">
        <f>IF(E48="","",VLOOKUP(E48,Config!$A$2:$B$10,2,FALSE))</f>
        <v/>
      </c>
      <c r="G48" t="inlineStr">
        <is>
          <t>6c9723af-a153-4f3c-a15a-4055c7f43829</t>
        </is>
      </c>
      <c r="H48" t="inlineStr">
        <is>
          <t>ee3fa8fb-0c85-4ae1-a3ce-e7f2f4d3c4e5</t>
        </is>
      </c>
    </row>
    <row r="49">
      <c r="A49" s="15" t="n">
        <v>45</v>
      </c>
      <c r="B49" s="16" t="inlineStr">
        <is>
          <t>Internal Capability Readiness</t>
        </is>
      </c>
      <c r="C49" s="15" t="inlineStr">
        <is>
          <t>compared to</t>
        </is>
      </c>
      <c r="D49" s="16" t="inlineStr">
        <is>
          <t>Speed to Implementation</t>
        </is>
      </c>
      <c r="E49" s="17" t="n"/>
      <c r="F49">
        <f>IF(E49="","",VLOOKUP(E49,Config!$A$2:$B$10,2,FALSE))</f>
        <v/>
      </c>
      <c r="G49" t="inlineStr">
        <is>
          <t>fddcb7bb-66e0-491f-85ae-8bb67c2670c6</t>
        </is>
      </c>
      <c r="H49" t="inlineStr">
        <is>
          <t>ee3fa8fb-0c85-4ae1-a3ce-e7f2f4d3c4e5</t>
        </is>
      </c>
    </row>
  </sheetData>
  <mergeCells count="3">
    <mergeCell ref="A2:E2"/>
    <mergeCell ref="A1:E1"/>
    <mergeCell ref="A3:E3"/>
  </mergeCells>
  <conditionalFormatting sqref="A5:E49">
    <cfRule type="expression" priority="1" dxfId="0">
      <formula>$E5&lt;&gt;""</formula>
    </cfRule>
  </conditionalFormatting>
  <dataValidations count="1">
    <dataValidation sqref="E5 E6 E7 E8 E9 E10 E11 E12 E13 E14 E15 E16 E17 E18 E19 E20 E21 E22 E23 E24 E25 E26 E27 E28 E29 E30 E31 E32 E33 E34 E35 E36 E37 E38 E39 E40 E41 E42 E43 E44 E45 E46 E47 E48 E49" showDropDown="0" showInputMessage="0" showErrorMessage="0" allowBlank="1" errorTitle="Invalid Selection" error="Please select a value from the dropdown list" promptTitle="Pairwise Comparison" prompt="Select your judgement" type="list">
      <formula1>Config!$A$2:$A$10</formula1>
    </dataValidation>
  </dataValidations>
  <pageMargins left="0.75" right="0.75" top="1" bottom="1" header="0.5" footer="0.5"/>
</worksheet>
</file>

<file path=xl/worksheets/sheet4.xml><?xml version="1.0" encoding="utf-8"?>
<worksheet xmlns="http://schemas.openxmlformats.org/spreadsheetml/2006/main">
  <sheetPr>
    <tabColor rgb="009FA8DA"/>
    <outlinePr summaryBelow="1" summaryRight="1"/>
    <pageSetUpPr/>
  </sheetPr>
  <dimension ref="A1:A5"/>
  <sheetViews>
    <sheetView workbookViewId="0">
      <selection activeCell="A1" sqref="A1"/>
    </sheetView>
  </sheetViews>
  <sheetFormatPr baseColWidth="8" defaultRowHeight="15"/>
  <cols>
    <col width="80" customWidth="1" min="1" max="1"/>
  </cols>
  <sheetData>
    <row r="1">
      <c r="A1" s="10" t="inlineStr">
        <is>
          <t>Comments and Observations</t>
        </is>
      </c>
    </row>
    <row r="3">
      <c r="A3" s="4" t="inlineStr">
        <is>
          <t>Please enter any additional observations, concerns, or strategic context below:</t>
        </is>
      </c>
    </row>
    <row r="5" ht="200" customHeight="1">
      <c r="A5" s="20"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2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21" t="inlineStr">
        <is>
          <t>Auto-Generated Pairwise Matrix (Do Not Edit)</t>
        </is>
      </c>
    </row>
    <row r="3">
      <c r="A3" s="3" t="inlineStr">
        <is>
          <t>Criterion A / B</t>
        </is>
      </c>
      <c r="B3" s="13" t="inlineStr">
        <is>
          <t>Business Criticality</t>
        </is>
      </c>
      <c r="C3" s="13" t="inlineStr">
        <is>
          <t>Agentic Ambition</t>
        </is>
      </c>
      <c r="D3" s="13" t="inlineStr">
        <is>
          <t>System Complexity</t>
        </is>
      </c>
      <c r="E3" s="13" t="inlineStr">
        <is>
          <t>Vendor Dependency Risk</t>
        </is>
      </c>
      <c r="F3" s="13" t="inlineStr">
        <is>
          <t>Governance and Compliance Need</t>
        </is>
      </c>
      <c r="G3" s="13" t="inlineStr">
        <is>
          <t>Data and IP Sensitivity</t>
        </is>
      </c>
      <c r="H3" s="13" t="inlineStr">
        <is>
          <t>Model Flexibility Requirement</t>
        </is>
      </c>
      <c r="I3" s="13" t="inlineStr">
        <is>
          <t>Cost Control Pressure</t>
        </is>
      </c>
      <c r="J3" s="13" t="inlineStr">
        <is>
          <t>Internal Capability Readiness</t>
        </is>
      </c>
      <c r="K3" s="13" t="inlineStr">
        <is>
          <t>Speed to Implementation</t>
        </is>
      </c>
    </row>
    <row r="4">
      <c r="A4" s="7" t="inlineStr">
        <is>
          <t>Business Criticality</t>
        </is>
      </c>
      <c r="B4" s="22" t="n">
        <v>1</v>
      </c>
      <c r="C4" s="23">
        <f>IF('Pairwise Survey'!F5="","", 'Pairwise Survey'!F5)</f>
        <v/>
      </c>
      <c r="D4" s="23">
        <f>IF('Pairwise Survey'!F6="","", 'Pairwise Survey'!F6)</f>
        <v/>
      </c>
      <c r="E4" s="23">
        <f>IF('Pairwise Survey'!F7="","", 'Pairwise Survey'!F7)</f>
        <v/>
      </c>
      <c r="F4" s="23">
        <f>IF('Pairwise Survey'!F8="","", 'Pairwise Survey'!F8)</f>
        <v/>
      </c>
      <c r="G4" s="23">
        <f>IF('Pairwise Survey'!F9="","", 'Pairwise Survey'!F9)</f>
        <v/>
      </c>
      <c r="H4" s="23">
        <f>IF('Pairwise Survey'!F10="","", 'Pairwise Survey'!F10)</f>
        <v/>
      </c>
      <c r="I4" s="23">
        <f>IF('Pairwise Survey'!F11="","", 'Pairwise Survey'!F11)</f>
        <v/>
      </c>
      <c r="J4" s="23">
        <f>IF('Pairwise Survey'!F12="","", 'Pairwise Survey'!F12)</f>
        <v/>
      </c>
      <c r="K4" s="23">
        <f>IF('Pairwise Survey'!F13="","", 'Pairwise Survey'!F13)</f>
        <v/>
      </c>
    </row>
    <row r="5">
      <c r="A5" s="7" t="inlineStr">
        <is>
          <t>Agentic Ambition</t>
        </is>
      </c>
      <c r="B5" s="24">
        <f>IF(C4="","",1/C4)</f>
        <v/>
      </c>
      <c r="C5" s="22" t="n">
        <v>1</v>
      </c>
      <c r="D5" s="23">
        <f>IF('Pairwise Survey'!F14="","", 'Pairwise Survey'!F14)</f>
        <v/>
      </c>
      <c r="E5" s="23">
        <f>IF('Pairwise Survey'!F15="","", 'Pairwise Survey'!F15)</f>
        <v/>
      </c>
      <c r="F5" s="23">
        <f>IF('Pairwise Survey'!F16="","", 'Pairwise Survey'!F16)</f>
        <v/>
      </c>
      <c r="G5" s="23">
        <f>IF('Pairwise Survey'!F17="","", 'Pairwise Survey'!F17)</f>
        <v/>
      </c>
      <c r="H5" s="23">
        <f>IF('Pairwise Survey'!F18="","", 'Pairwise Survey'!F18)</f>
        <v/>
      </c>
      <c r="I5" s="23">
        <f>IF('Pairwise Survey'!F19="","", 'Pairwise Survey'!F19)</f>
        <v/>
      </c>
      <c r="J5" s="23">
        <f>IF('Pairwise Survey'!F20="","", 'Pairwise Survey'!F20)</f>
        <v/>
      </c>
      <c r="K5" s="23">
        <f>IF('Pairwise Survey'!F21="","", 'Pairwise Survey'!F21)</f>
        <v/>
      </c>
    </row>
    <row r="6">
      <c r="A6" s="7" t="inlineStr">
        <is>
          <t>System Complexity</t>
        </is>
      </c>
      <c r="B6" s="24">
        <f>IF(D4="","",1/D4)</f>
        <v/>
      </c>
      <c r="C6" s="24">
        <f>IF(D5="","",1/D5)</f>
        <v/>
      </c>
      <c r="D6" s="22" t="n">
        <v>1</v>
      </c>
      <c r="E6" s="23">
        <f>IF('Pairwise Survey'!F22="","", 'Pairwise Survey'!F22)</f>
        <v/>
      </c>
      <c r="F6" s="23">
        <f>IF('Pairwise Survey'!F23="","", 'Pairwise Survey'!F23)</f>
        <v/>
      </c>
      <c r="G6" s="23">
        <f>IF('Pairwise Survey'!F24="","", 'Pairwise Survey'!F24)</f>
        <v/>
      </c>
      <c r="H6" s="23">
        <f>IF('Pairwise Survey'!F25="","", 'Pairwise Survey'!F25)</f>
        <v/>
      </c>
      <c r="I6" s="23">
        <f>IF('Pairwise Survey'!F26="","", 'Pairwise Survey'!F26)</f>
        <v/>
      </c>
      <c r="J6" s="23">
        <f>IF('Pairwise Survey'!F27="","", 'Pairwise Survey'!F27)</f>
        <v/>
      </c>
      <c r="K6" s="23">
        <f>IF('Pairwise Survey'!F28="","", 'Pairwise Survey'!F28)</f>
        <v/>
      </c>
    </row>
    <row r="7">
      <c r="A7" s="7" t="inlineStr">
        <is>
          <t>Vendor Dependency Risk</t>
        </is>
      </c>
      <c r="B7" s="24">
        <f>IF(E4="","",1/E4)</f>
        <v/>
      </c>
      <c r="C7" s="24">
        <f>IF(E5="","",1/E5)</f>
        <v/>
      </c>
      <c r="D7" s="24">
        <f>IF(E6="","",1/E6)</f>
        <v/>
      </c>
      <c r="E7" s="22" t="n">
        <v>1</v>
      </c>
      <c r="F7" s="23">
        <f>IF('Pairwise Survey'!F29="","", 'Pairwise Survey'!F29)</f>
        <v/>
      </c>
      <c r="G7" s="23">
        <f>IF('Pairwise Survey'!F30="","", 'Pairwise Survey'!F30)</f>
        <v/>
      </c>
      <c r="H7" s="23">
        <f>IF('Pairwise Survey'!F31="","", 'Pairwise Survey'!F31)</f>
        <v/>
      </c>
      <c r="I7" s="23">
        <f>IF('Pairwise Survey'!F32="","", 'Pairwise Survey'!F32)</f>
        <v/>
      </c>
      <c r="J7" s="23">
        <f>IF('Pairwise Survey'!F33="","", 'Pairwise Survey'!F33)</f>
        <v/>
      </c>
      <c r="K7" s="23">
        <f>IF('Pairwise Survey'!F34="","", 'Pairwise Survey'!F34)</f>
        <v/>
      </c>
    </row>
    <row r="8">
      <c r="A8" s="7" t="inlineStr">
        <is>
          <t>Governance and Compliance Need</t>
        </is>
      </c>
      <c r="B8" s="24">
        <f>IF(F4="","",1/F4)</f>
        <v/>
      </c>
      <c r="C8" s="24">
        <f>IF(F5="","",1/F5)</f>
        <v/>
      </c>
      <c r="D8" s="24">
        <f>IF(F6="","",1/F6)</f>
        <v/>
      </c>
      <c r="E8" s="24">
        <f>IF(F7="","",1/F7)</f>
        <v/>
      </c>
      <c r="F8" s="22" t="n">
        <v>1</v>
      </c>
      <c r="G8" s="23">
        <f>IF('Pairwise Survey'!F35="","", 'Pairwise Survey'!F35)</f>
        <v/>
      </c>
      <c r="H8" s="23">
        <f>IF('Pairwise Survey'!F36="","", 'Pairwise Survey'!F36)</f>
        <v/>
      </c>
      <c r="I8" s="23">
        <f>IF('Pairwise Survey'!F37="","", 'Pairwise Survey'!F37)</f>
        <v/>
      </c>
      <c r="J8" s="23">
        <f>IF('Pairwise Survey'!F38="","", 'Pairwise Survey'!F38)</f>
        <v/>
      </c>
      <c r="K8" s="23">
        <f>IF('Pairwise Survey'!F39="","", 'Pairwise Survey'!F39)</f>
        <v/>
      </c>
    </row>
    <row r="9">
      <c r="A9" s="7" t="inlineStr">
        <is>
          <t>Data and IP Sensitivity</t>
        </is>
      </c>
      <c r="B9" s="24">
        <f>IF(G4="","",1/G4)</f>
        <v/>
      </c>
      <c r="C9" s="24">
        <f>IF(G5="","",1/G5)</f>
        <v/>
      </c>
      <c r="D9" s="24">
        <f>IF(G6="","",1/G6)</f>
        <v/>
      </c>
      <c r="E9" s="24">
        <f>IF(G7="","",1/G7)</f>
        <v/>
      </c>
      <c r="F9" s="24">
        <f>IF(G8="","",1/G8)</f>
        <v/>
      </c>
      <c r="G9" s="22" t="n">
        <v>1</v>
      </c>
      <c r="H9" s="23">
        <f>IF('Pairwise Survey'!F40="","", 'Pairwise Survey'!F40)</f>
        <v/>
      </c>
      <c r="I9" s="23">
        <f>IF('Pairwise Survey'!F41="","", 'Pairwise Survey'!F41)</f>
        <v/>
      </c>
      <c r="J9" s="23">
        <f>IF('Pairwise Survey'!F42="","", 'Pairwise Survey'!F42)</f>
        <v/>
      </c>
      <c r="K9" s="23">
        <f>IF('Pairwise Survey'!F43="","", 'Pairwise Survey'!F43)</f>
        <v/>
      </c>
    </row>
    <row r="10">
      <c r="A10" s="7" t="inlineStr">
        <is>
          <t>Model Flexibility Requirement</t>
        </is>
      </c>
      <c r="B10" s="24">
        <f>IF(H4="","",1/H4)</f>
        <v/>
      </c>
      <c r="C10" s="24">
        <f>IF(H5="","",1/H5)</f>
        <v/>
      </c>
      <c r="D10" s="24">
        <f>IF(H6="","",1/H6)</f>
        <v/>
      </c>
      <c r="E10" s="24">
        <f>IF(H7="","",1/H7)</f>
        <v/>
      </c>
      <c r="F10" s="24">
        <f>IF(H8="","",1/H8)</f>
        <v/>
      </c>
      <c r="G10" s="24">
        <f>IF(H9="","",1/H9)</f>
        <v/>
      </c>
      <c r="H10" s="22" t="n">
        <v>1</v>
      </c>
      <c r="I10" s="23">
        <f>IF('Pairwise Survey'!F44="","", 'Pairwise Survey'!F44)</f>
        <v/>
      </c>
      <c r="J10" s="23">
        <f>IF('Pairwise Survey'!F45="","", 'Pairwise Survey'!F45)</f>
        <v/>
      </c>
      <c r="K10" s="23">
        <f>IF('Pairwise Survey'!F46="","", 'Pairwise Survey'!F46)</f>
        <v/>
      </c>
    </row>
    <row r="11">
      <c r="A11" s="7" t="inlineStr">
        <is>
          <t>Cost Control Pressure</t>
        </is>
      </c>
      <c r="B11" s="24">
        <f>IF(I4="","",1/I4)</f>
        <v/>
      </c>
      <c r="C11" s="24">
        <f>IF(I5="","",1/I5)</f>
        <v/>
      </c>
      <c r="D11" s="24">
        <f>IF(I6="","",1/I6)</f>
        <v/>
      </c>
      <c r="E11" s="24">
        <f>IF(I7="","",1/I7)</f>
        <v/>
      </c>
      <c r="F11" s="24">
        <f>IF(I8="","",1/I8)</f>
        <v/>
      </c>
      <c r="G11" s="24">
        <f>IF(I9="","",1/I9)</f>
        <v/>
      </c>
      <c r="H11" s="24">
        <f>IF(I10="","",1/I10)</f>
        <v/>
      </c>
      <c r="I11" s="22" t="n">
        <v>1</v>
      </c>
      <c r="J11" s="23">
        <f>IF('Pairwise Survey'!F47="","", 'Pairwise Survey'!F47)</f>
        <v/>
      </c>
      <c r="K11" s="23">
        <f>IF('Pairwise Survey'!F48="","", 'Pairwise Survey'!F48)</f>
        <v/>
      </c>
    </row>
    <row r="12">
      <c r="A12" s="7" t="inlineStr">
        <is>
          <t>Internal Capability Readiness</t>
        </is>
      </c>
      <c r="B12" s="24">
        <f>IF(J4="","",1/J4)</f>
        <v/>
      </c>
      <c r="C12" s="24">
        <f>IF(J5="","",1/J5)</f>
        <v/>
      </c>
      <c r="D12" s="24">
        <f>IF(J6="","",1/J6)</f>
        <v/>
      </c>
      <c r="E12" s="24">
        <f>IF(J7="","",1/J7)</f>
        <v/>
      </c>
      <c r="F12" s="24">
        <f>IF(J8="","",1/J8)</f>
        <v/>
      </c>
      <c r="G12" s="24">
        <f>IF(J9="","",1/J9)</f>
        <v/>
      </c>
      <c r="H12" s="24">
        <f>IF(J10="","",1/J10)</f>
        <v/>
      </c>
      <c r="I12" s="24">
        <f>IF(J11="","",1/J11)</f>
        <v/>
      </c>
      <c r="J12" s="22" t="n">
        <v>1</v>
      </c>
      <c r="K12" s="23">
        <f>IF('Pairwise Survey'!F49="","", 'Pairwise Survey'!F49)</f>
        <v/>
      </c>
    </row>
    <row r="13">
      <c r="A13" s="7" t="inlineStr">
        <is>
          <t>Speed to Implementation</t>
        </is>
      </c>
      <c r="B13" s="24">
        <f>IF(K4="","",1/K4)</f>
        <v/>
      </c>
      <c r="C13" s="24">
        <f>IF(K5="","",1/K5)</f>
        <v/>
      </c>
      <c r="D13" s="24">
        <f>IF(K6="","",1/K6)</f>
        <v/>
      </c>
      <c r="E13" s="24">
        <f>IF(K7="","",1/K7)</f>
        <v/>
      </c>
      <c r="F13" s="24">
        <f>IF(K8="","",1/K8)</f>
        <v/>
      </c>
      <c r="G13" s="24">
        <f>IF(K9="","",1/K9)</f>
        <v/>
      </c>
      <c r="H13" s="24">
        <f>IF(K10="","",1/K10)</f>
        <v/>
      </c>
      <c r="I13" s="24">
        <f>IF(K11="","",1/K11)</f>
        <v/>
      </c>
      <c r="J13" s="24">
        <f>IF(K12="","",1/K12)</f>
        <v/>
      </c>
      <c r="K13" s="22" t="n">
        <v>1</v>
      </c>
    </row>
  </sheetData>
  <pageMargins left="0.75" right="0.75" top="1" bottom="1" header="0.5" footer="0.5"/>
</worksheet>
</file>

<file path=xl/worksheets/sheet6.xml><?xml version="1.0" encoding="utf-8"?>
<worksheet xmlns="http://schemas.openxmlformats.org/spreadsheetml/2006/main">
  <sheetPr>
    <tabColor rgb="00C5CAE9"/>
    <outlinePr summaryBelow="1" summaryRight="1"/>
    <pageSetUpPr/>
  </sheetPr>
  <dimension ref="A1:B22"/>
  <sheetViews>
    <sheetView workbookViewId="0">
      <selection activeCell="A1" sqref="A1"/>
    </sheetView>
  </sheetViews>
  <sheetFormatPr baseColWidth="8" defaultRowHeight="15"/>
  <cols>
    <col width="25" customWidth="1" min="1" max="1"/>
    <col width="50" customWidth="1" min="2" max="2"/>
  </cols>
  <sheetData>
    <row r="1">
      <c r="A1" s="25" t="inlineStr">
        <is>
          <t>Metadata (Do Not Edit)</t>
        </is>
      </c>
    </row>
    <row r="3">
      <c r="A3" s="3" t="inlineStr">
        <is>
          <t>Project ID</t>
        </is>
      </c>
      <c r="B3" s="4" t="inlineStr">
        <is>
          <t>4cd902c3-a677-4b0e-af68-ca07d4b3f091</t>
        </is>
      </c>
    </row>
    <row r="4">
      <c r="A4" s="3" t="inlineStr">
        <is>
          <t>Project Name</t>
        </is>
      </c>
      <c r="B4" s="4" t="inlineStr">
        <is>
          <t>Simple Survey Test</t>
        </is>
      </c>
    </row>
    <row r="5">
      <c r="A5" s="3" t="inlineStr">
        <is>
          <t>Company Name</t>
        </is>
      </c>
      <c r="B5" s="4" t="inlineStr">
        <is>
          <t>Demo Corp</t>
        </is>
      </c>
    </row>
    <row r="6">
      <c r="A6" s="3" t="inlineStr">
        <is>
          <t>Generated At</t>
        </is>
      </c>
      <c r="B6" s="4" t="inlineStr">
        <is>
          <t>2026-06-20T16:56:23.900690</t>
        </is>
      </c>
    </row>
    <row r="7">
      <c r="A7" s="3" t="inlineStr">
        <is>
          <t>Criteria Count</t>
        </is>
      </c>
      <c r="B7" s="4" t="inlineStr">
        <is>
          <t>10</t>
        </is>
      </c>
    </row>
    <row r="8">
      <c r="A8" s="3" t="inlineStr">
        <is>
          <t>Template Version</t>
        </is>
      </c>
      <c r="B8" s="4" t="inlineStr">
        <is>
          <t>2.0</t>
        </is>
      </c>
    </row>
    <row r="9">
      <c r="A9" s="3" t="inlineStr">
        <is>
          <t>Format</t>
        </is>
      </c>
      <c r="B9" s="4" t="inlineStr">
        <is>
          <t>question-per-row</t>
        </is>
      </c>
    </row>
    <row r="10">
      <c r="A10" s="3" t="inlineStr">
        <is>
          <t>Application</t>
        </is>
      </c>
      <c r="B10" s="4" t="inlineStr">
        <is>
          <t>AlphaAlign</t>
        </is>
      </c>
    </row>
    <row r="12">
      <c r="A12" s="3" t="inlineStr">
        <is>
          <t>Criteria</t>
        </is>
      </c>
    </row>
    <row r="13">
      <c r="A13" s="14" t="inlineStr">
        <is>
          <t>7584e9ca-c27d-464d-af8a-8aef08588e65</t>
        </is>
      </c>
      <c r="B13" s="4" t="inlineStr">
        <is>
          <t>Business Criticality</t>
        </is>
      </c>
    </row>
    <row r="14">
      <c r="A14" s="14" t="inlineStr">
        <is>
          <t>0a1f7d7e-86c9-4f2e-960c-4b13e16b64bb</t>
        </is>
      </c>
      <c r="B14" s="4" t="inlineStr">
        <is>
          <t>Agentic Ambition</t>
        </is>
      </c>
    </row>
    <row r="15">
      <c r="A15" s="14" t="inlineStr">
        <is>
          <t>acc8d6cf-59bc-481f-8191-badd26cfd225</t>
        </is>
      </c>
      <c r="B15" s="4" t="inlineStr">
        <is>
          <t>System Complexity</t>
        </is>
      </c>
    </row>
    <row r="16">
      <c r="A16" s="14" t="inlineStr">
        <is>
          <t>9305e238-2507-4f7e-acfb-3f15389545db</t>
        </is>
      </c>
      <c r="B16" s="4" t="inlineStr">
        <is>
          <t>Vendor Dependency Risk</t>
        </is>
      </c>
    </row>
    <row r="17">
      <c r="A17" s="14" t="inlineStr">
        <is>
          <t>2eb3826c-0f6d-4d57-baac-034f22cb8a5e</t>
        </is>
      </c>
      <c r="B17" s="4" t="inlineStr">
        <is>
          <t>Governance and Compliance Need</t>
        </is>
      </c>
    </row>
    <row r="18">
      <c r="A18" s="14" t="inlineStr">
        <is>
          <t>570b565c-33d7-4ea6-b67a-bbde9a49a4fd</t>
        </is>
      </c>
      <c r="B18" s="4" t="inlineStr">
        <is>
          <t>Data and IP Sensitivity</t>
        </is>
      </c>
    </row>
    <row r="19">
      <c r="A19" s="14" t="inlineStr">
        <is>
          <t>3ae3514c-9778-4eb7-9c93-1578e5c6b556</t>
        </is>
      </c>
      <c r="B19" s="4" t="inlineStr">
        <is>
          <t>Model Flexibility Requirement</t>
        </is>
      </c>
    </row>
    <row r="20">
      <c r="A20" s="14" t="inlineStr">
        <is>
          <t>6c9723af-a153-4f3c-a15a-4055c7f43829</t>
        </is>
      </c>
      <c r="B20" s="4" t="inlineStr">
        <is>
          <t>Cost Control Pressure</t>
        </is>
      </c>
    </row>
    <row r="21">
      <c r="A21" s="14" t="inlineStr">
        <is>
          <t>fddcb7bb-66e0-491f-85ae-8bb67c2670c6</t>
        </is>
      </c>
      <c r="B21" s="4" t="inlineStr">
        <is>
          <t>Internal Capability Readiness</t>
        </is>
      </c>
    </row>
    <row r="22">
      <c r="A22" s="14" t="inlineStr">
        <is>
          <t>ee3fa8fb-0c85-4ae1-a3ce-e7f2f4d3c4e5</t>
        </is>
      </c>
      <c r="B22" s="4" t="inlineStr">
        <is>
          <t>Speed to Implementation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2026-06-20T14:56:23Z</dcterms:created>
  <dcterms:modified xsi:type="dcterms:W3CDTF">2026-06-20T14:56:23Z</dcterms:modified>
</cp:coreProperties>
</file>